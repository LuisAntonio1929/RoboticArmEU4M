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uo277599_uniovi_es/Documents/"/>
    </mc:Choice>
  </mc:AlternateContent>
  <xr:revisionPtr revIDLastSave="0" documentId="8_{DBB828FE-070E-4A56-BA43-C33370536350}" xr6:coauthVersionLast="47" xr6:coauthVersionMax="47" xr10:uidLastSave="{00000000-0000-0000-0000-000000000000}"/>
  <bookViews>
    <workbookView xWindow="-16090" yWindow="2220" windowWidth="16180" windowHeight="12530" xr2:uid="{7F80A837-4CFE-448F-AC21-4AA959165F3D}"/>
  </bookViews>
  <sheets>
    <sheet name="Hoja1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18" i="1"/>
  <c r="F16" i="1"/>
  <c r="G15" i="1"/>
  <c r="G8" i="1"/>
  <c r="G24" i="1"/>
  <c r="G21" i="1"/>
  <c r="G20" i="1"/>
  <c r="G19" i="1"/>
  <c r="G18" i="1"/>
  <c r="G17" i="1"/>
  <c r="G16" i="1"/>
  <c r="G12" i="1"/>
  <c r="G13" i="1"/>
  <c r="G14" i="1"/>
  <c r="G11" i="1"/>
  <c r="G7" i="1"/>
  <c r="G10" i="1"/>
  <c r="G9" i="1"/>
  <c r="G23" i="1"/>
  <c r="G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Zapico</author>
  </authors>
  <commentList>
    <comment ref="A6" authorId="0" shapeId="0" xr:uid="{79C44036-CEC9-4037-9384-AE0B41ED690E}">
      <text>
        <r>
          <rPr>
            <b/>
            <sz val="9"/>
            <color indexed="81"/>
            <rFont val="Tahoma"/>
            <family val="2"/>
          </rPr>
          <t>Pablo Zapico:</t>
        </r>
        <r>
          <rPr>
            <sz val="9"/>
            <color indexed="81"/>
            <rFont val="Tahoma"/>
            <family val="2"/>
          </rPr>
          <t xml:space="preserve">
Identificar las bandejas por letras consecutivas (A, B, C, etc.)</t>
        </r>
      </text>
    </comment>
    <comment ref="B6" authorId="0" shapeId="0" xr:uid="{3BFCB123-7F3B-4668-9A12-9A192E72BA24}">
      <text>
        <r>
          <rPr>
            <b/>
            <sz val="9"/>
            <color indexed="81"/>
            <rFont val="Tahoma"/>
            <family val="2"/>
          </rPr>
          <t>Pablo Zapico:</t>
        </r>
        <r>
          <rPr>
            <sz val="9"/>
            <color indexed="81"/>
            <rFont val="Tahoma"/>
            <family val="2"/>
          </rPr>
          <t xml:space="preserve">
Código de componente en el BOM</t>
        </r>
      </text>
    </comment>
    <comment ref="C6" authorId="0" shapeId="0" xr:uid="{F59F8665-FD9E-47B3-B548-15CEBD219924}">
      <text>
        <r>
          <rPr>
            <b/>
            <sz val="9"/>
            <color indexed="81"/>
            <rFont val="Tahoma"/>
            <family val="2"/>
          </rPr>
          <t>Pablo Zapico:</t>
        </r>
        <r>
          <rPr>
            <sz val="9"/>
            <color indexed="81"/>
            <rFont val="Tahoma"/>
            <family val="2"/>
          </rPr>
          <t xml:space="preserve">
Cantidad de de esta piezas que se fabrica en esta bandeja.</t>
        </r>
      </text>
    </comment>
  </commentList>
</comments>
</file>

<file path=xl/sharedStrings.xml><?xml version="1.0" encoding="utf-8"?>
<sst xmlns="http://schemas.openxmlformats.org/spreadsheetml/2006/main" count="106" uniqueCount="47">
  <si>
    <t>Desarrollo de un Protitipo Mecatrónico
Planificación de Fabricación Aditiva
Curso 2025-2026</t>
  </si>
  <si>
    <t>Grupo</t>
  </si>
  <si>
    <t>Responsable</t>
  </si>
  <si>
    <t>Pedro González, uo277599@uniovi.es</t>
  </si>
  <si>
    <t>Bandeja</t>
  </si>
  <si>
    <t>Código de pieza</t>
  </si>
  <si>
    <t>Cantidad</t>
  </si>
  <si>
    <t>Máquina</t>
  </si>
  <si>
    <t>Material (Color)</t>
  </si>
  <si>
    <t>Peso U (g)</t>
  </si>
  <si>
    <t>Peso Total (g)</t>
  </si>
  <si>
    <t>Archivo de bandeja</t>
  </si>
  <si>
    <t>Observación</t>
  </si>
  <si>
    <t>A</t>
  </si>
  <si>
    <t>BAS-PRT-002</t>
  </si>
  <si>
    <t>US5</t>
  </si>
  <si>
    <t>Tough PLA (Negro)</t>
  </si>
  <si>
    <t>G3-A.3mf</t>
  </si>
  <si>
    <t>B</t>
  </si>
  <si>
    <t>BRZ-PRT-001</t>
  </si>
  <si>
    <t>PLA CF (Negro)</t>
  </si>
  <si>
    <t>G3-B.3mf</t>
  </si>
  <si>
    <t>Pieza de 2 sólidos</t>
  </si>
  <si>
    <t>C</t>
  </si>
  <si>
    <t>BAS-PRT-003</t>
  </si>
  <si>
    <t>BL H2S</t>
  </si>
  <si>
    <t>G3-C-H.3mf</t>
  </si>
  <si>
    <t>D</t>
  </si>
  <si>
    <t>BAS-PRT-004</t>
  </si>
  <si>
    <t>E</t>
  </si>
  <si>
    <t>BRZ-PRT-002</t>
  </si>
  <si>
    <t>F</t>
  </si>
  <si>
    <t>BRZ-PRT-009</t>
  </si>
  <si>
    <t>BRZ-PRT-010</t>
  </si>
  <si>
    <t>BRZ-PRT-011</t>
  </si>
  <si>
    <t>BRZ-PRT-012</t>
  </si>
  <si>
    <t>BRZ-PRT-013</t>
  </si>
  <si>
    <t>G</t>
  </si>
  <si>
    <t>BRZ-PRT-003</t>
  </si>
  <si>
    <t>BRZ-PRT-004</t>
  </si>
  <si>
    <t>BRZ-PRT-005</t>
  </si>
  <si>
    <t>BRZ-PRT-007</t>
  </si>
  <si>
    <t>BRZ-PRT-008</t>
  </si>
  <si>
    <t>H</t>
  </si>
  <si>
    <t>BAS-PRT-001</t>
  </si>
  <si>
    <t>BAS-PRT-005</t>
  </si>
  <si>
    <t>BRZ-PRT-006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</si>
</sst>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C8DC4-63A6-44A2-9BF2-343014521FF7}" name="Tabla1" displayName="Tabla1" ref="A6:I24" totalsRowShown="0" headerRowDxfId="10" dataDxfId="9">
  <autoFilter ref="A6:I24" xr:uid="{CACC8DC4-63A6-44A2-9BF2-343014521FF7}"/>
  <sortState xmlns:xlrd2="http://schemas.microsoft.com/office/spreadsheetml/2017/richdata2" ref="A7:I24">
    <sortCondition ref="A6:A24"/>
  </sortState>
  <tableColumns count="9">
    <tableColumn id="1" xr3:uid="{5941A240-FD86-4397-9098-292AADF6F680}" name="Bandeja" dataDxfId="8"/>
    <tableColumn id="2" xr3:uid="{61B7F98F-775D-478B-BB0D-8E008C65EE30}" name="Código de pieza" dataDxfId="7"/>
    <tableColumn id="3" xr3:uid="{BEA65D4B-019B-45A8-B7CA-731C85BECFEE}" name="Cantidad" dataDxfId="6"/>
    <tableColumn id="7" xr3:uid="{BE6011C9-D8C4-4964-8E8C-662250657245}" name="Máquina" dataDxfId="5"/>
    <tableColumn id="4" xr3:uid="{C2D9D8C6-0218-4093-9F55-A4FF61DDFA22}" name="Material (Color)" dataDxfId="4"/>
    <tableColumn id="5" xr3:uid="{EE778BB4-A7C6-44DB-9556-D54FEFD07D46}" name="Peso U (g)" dataDxfId="3"/>
    <tableColumn id="6" xr3:uid="{4ED02015-E1C5-4C7B-8AB1-50F41DE05B6B}" name="Peso Total (g)" dataDxfId="2">
      <calculatedColumnFormula>Tabla1[[#This Row],[Peso U (g)]]*Tabla1[[#This Row],[Cantidad]]</calculatedColumnFormula>
    </tableColumn>
    <tableColumn id="8" xr3:uid="{68A4AC7A-641D-465C-83DB-0ADAAC324723}" name="Archivo de bandeja" dataDxfId="1"/>
    <tableColumn id="9" xr3:uid="{56B84B28-6A8C-4E74-BF56-8E85ADE540D6}" name="Observ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F751-E4E9-4734-A681-DE3704A4B809}">
  <dimension ref="A1:I27"/>
  <sheetViews>
    <sheetView tabSelected="1" workbookViewId="0">
      <selection activeCell="B5" sqref="B5"/>
    </sheetView>
  </sheetViews>
  <sheetFormatPr defaultColWidth="11.42578125" defaultRowHeight="14.65"/>
  <cols>
    <col min="1" max="1" width="12.7109375" bestFit="1" customWidth="1"/>
    <col min="2" max="2" width="19.85546875" bestFit="1" customWidth="1"/>
    <col min="3" max="3" width="13.7109375" bestFit="1" customWidth="1"/>
    <col min="4" max="4" width="13.7109375" customWidth="1"/>
    <col min="5" max="5" width="19.7109375" bestFit="1" customWidth="1"/>
    <col min="6" max="6" width="14.5703125" bestFit="1" customWidth="1"/>
    <col min="7" max="7" width="17.7109375" bestFit="1" customWidth="1"/>
    <col min="8" max="8" width="22.7109375" bestFit="1" customWidth="1"/>
    <col min="9" max="9" width="21.7109375" customWidth="1"/>
  </cols>
  <sheetData>
    <row r="1" spans="1:9" ht="65.25" customHeight="1">
      <c r="A1" s="6" t="s">
        <v>0</v>
      </c>
      <c r="B1" s="6"/>
      <c r="C1" s="6"/>
      <c r="D1" s="6"/>
      <c r="E1" s="6"/>
      <c r="F1" s="6"/>
      <c r="G1" s="6"/>
      <c r="H1" s="6"/>
    </row>
    <row r="3" spans="1:9">
      <c r="A3" s="4" t="s">
        <v>1</v>
      </c>
      <c r="B3" s="7">
        <v>3</v>
      </c>
      <c r="C3" s="7"/>
      <c r="D3" s="7"/>
      <c r="E3" s="7"/>
      <c r="F3" s="7"/>
      <c r="G3" s="7"/>
      <c r="H3" s="7"/>
    </row>
    <row r="4" spans="1:9">
      <c r="A4" s="4" t="s">
        <v>2</v>
      </c>
      <c r="B4" s="7" t="s">
        <v>3</v>
      </c>
      <c r="C4" s="7"/>
      <c r="D4" s="7"/>
      <c r="E4" s="7"/>
      <c r="F4" s="7"/>
      <c r="G4" s="7"/>
      <c r="H4" s="7"/>
    </row>
    <row r="5" spans="1:9">
      <c r="B5" s="3"/>
      <c r="C5" s="3"/>
      <c r="D5" s="3"/>
      <c r="E5" s="3"/>
      <c r="F5" s="3"/>
      <c r="G5" s="3"/>
      <c r="H5" s="2"/>
    </row>
    <row r="6" spans="1:9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</row>
    <row r="7" spans="1:9" ht="15">
      <c r="A7" s="1" t="s">
        <v>13</v>
      </c>
      <c r="B7" s="1" t="s">
        <v>14</v>
      </c>
      <c r="C7" s="1">
        <v>1</v>
      </c>
      <c r="D7" s="1" t="s">
        <v>15</v>
      </c>
      <c r="E7" s="1" t="s">
        <v>16</v>
      </c>
      <c r="F7" s="1">
        <v>482</v>
      </c>
      <c r="G7" s="1">
        <f>Tabla1[[#This Row],[Peso U (g)]]*Tabla1[[#This Row],[Cantidad]]</f>
        <v>482</v>
      </c>
      <c r="H7" s="1" t="s">
        <v>17</v>
      </c>
      <c r="I7" s="1"/>
    </row>
    <row r="8" spans="1:9" ht="15">
      <c r="A8" s="1" t="s">
        <v>18</v>
      </c>
      <c r="B8" s="5" t="s">
        <v>19</v>
      </c>
      <c r="C8" s="1">
        <v>1</v>
      </c>
      <c r="D8" s="1" t="s">
        <v>15</v>
      </c>
      <c r="E8" s="1" t="s">
        <v>20</v>
      </c>
      <c r="F8" s="1">
        <v>203</v>
      </c>
      <c r="G8" s="1">
        <f>Tabla1[[#This Row],[Peso U (g)]]*Tabla1[[#This Row],[Cantidad]]</f>
        <v>203</v>
      </c>
      <c r="H8" s="1" t="s">
        <v>21</v>
      </c>
      <c r="I8" s="1" t="s">
        <v>22</v>
      </c>
    </row>
    <row r="9" spans="1:9" ht="15">
      <c r="A9" s="1" t="s">
        <v>23</v>
      </c>
      <c r="B9" s="1" t="s">
        <v>24</v>
      </c>
      <c r="C9" s="1">
        <v>1</v>
      </c>
      <c r="D9" s="1" t="s">
        <v>25</v>
      </c>
      <c r="E9" s="1" t="s">
        <v>20</v>
      </c>
      <c r="F9" s="1">
        <v>482.32</v>
      </c>
      <c r="G9" s="1">
        <f>Tabla1[[#This Row],[Peso U (g)]]*Tabla1[[#This Row],[Cantidad]]</f>
        <v>482.32</v>
      </c>
      <c r="H9" s="1" t="s">
        <v>26</v>
      </c>
      <c r="I9" s="1"/>
    </row>
    <row r="10" spans="1:9">
      <c r="A10" s="1" t="s">
        <v>27</v>
      </c>
      <c r="B10" s="1" t="s">
        <v>28</v>
      </c>
      <c r="C10" s="1">
        <v>1</v>
      </c>
      <c r="D10" s="1" t="s">
        <v>25</v>
      </c>
      <c r="E10" s="1" t="s">
        <v>20</v>
      </c>
      <c r="F10" s="1">
        <v>281.52</v>
      </c>
      <c r="G10" s="1">
        <f>Tabla1[[#This Row],[Peso U (g)]]*Tabla1[[#This Row],[Cantidad]]</f>
        <v>281.52</v>
      </c>
      <c r="H10" s="1" t="s">
        <v>26</v>
      </c>
      <c r="I10" s="1"/>
    </row>
    <row r="11" spans="1:9" ht="15">
      <c r="A11" s="1" t="s">
        <v>29</v>
      </c>
      <c r="B11" s="5" t="s">
        <v>30</v>
      </c>
      <c r="C11" s="1">
        <v>1</v>
      </c>
      <c r="D11" s="1" t="s">
        <v>25</v>
      </c>
      <c r="E11" s="1" t="s">
        <v>20</v>
      </c>
      <c r="F11" s="1">
        <v>81.239999999999995</v>
      </c>
      <c r="G11" s="1">
        <f>Tabla1[[#This Row],[Peso U (g)]]*Tabla1[[#This Row],[Cantidad]]</f>
        <v>81.239999999999995</v>
      </c>
      <c r="H11" s="1" t="s">
        <v>26</v>
      </c>
      <c r="I11" s="1" t="s">
        <v>22</v>
      </c>
    </row>
    <row r="12" spans="1:9" ht="15">
      <c r="A12" s="1" t="s">
        <v>31</v>
      </c>
      <c r="B12" s="5" t="s">
        <v>32</v>
      </c>
      <c r="C12" s="1">
        <v>1</v>
      </c>
      <c r="D12" s="1" t="s">
        <v>25</v>
      </c>
      <c r="E12" s="1" t="s">
        <v>20</v>
      </c>
      <c r="F12" s="1">
        <v>35.07</v>
      </c>
      <c r="G12" s="1">
        <f>Tabla1[[#This Row],[Peso U (g)]]*Tabla1[[#This Row],[Cantidad]]</f>
        <v>35.07</v>
      </c>
      <c r="H12" s="1" t="s">
        <v>26</v>
      </c>
      <c r="I12" s="1"/>
    </row>
    <row r="13" spans="1:9" ht="15">
      <c r="A13" s="1" t="s">
        <v>31</v>
      </c>
      <c r="B13" s="5" t="s">
        <v>33</v>
      </c>
      <c r="C13" s="1">
        <v>1</v>
      </c>
      <c r="D13" s="1" t="s">
        <v>25</v>
      </c>
      <c r="E13" s="1" t="s">
        <v>20</v>
      </c>
      <c r="F13" s="1">
        <v>48.19</v>
      </c>
      <c r="G13" s="1">
        <f>Tabla1[[#This Row],[Peso U (g)]]*Tabla1[[#This Row],[Cantidad]]</f>
        <v>48.19</v>
      </c>
      <c r="H13" s="1" t="s">
        <v>26</v>
      </c>
      <c r="I13" s="1"/>
    </row>
    <row r="14" spans="1:9" ht="15">
      <c r="A14" s="1" t="s">
        <v>31</v>
      </c>
      <c r="B14" s="5" t="s">
        <v>34</v>
      </c>
      <c r="C14" s="1">
        <v>1</v>
      </c>
      <c r="D14" s="1" t="s">
        <v>25</v>
      </c>
      <c r="E14" s="1" t="s">
        <v>20</v>
      </c>
      <c r="F14" s="1">
        <v>34.58</v>
      </c>
      <c r="G14" s="1">
        <f>Tabla1[[#This Row],[Peso U (g)]]*Tabla1[[#This Row],[Cantidad]]</f>
        <v>34.58</v>
      </c>
      <c r="H14" s="1" t="s">
        <v>26</v>
      </c>
      <c r="I14" s="1"/>
    </row>
    <row r="15" spans="1:9" ht="15">
      <c r="A15" s="1" t="s">
        <v>31</v>
      </c>
      <c r="B15" s="5" t="s">
        <v>35</v>
      </c>
      <c r="C15" s="1">
        <v>1</v>
      </c>
      <c r="D15" s="1" t="s">
        <v>25</v>
      </c>
      <c r="E15" s="1" t="s">
        <v>20</v>
      </c>
      <c r="F15" s="1">
        <v>19.78</v>
      </c>
      <c r="G15" s="1">
        <f>Tabla1[[#This Row],[Peso U (g)]]*Tabla1[[#This Row],[Cantidad]]</f>
        <v>19.78</v>
      </c>
      <c r="H15" s="1" t="s">
        <v>26</v>
      </c>
      <c r="I15" s="1"/>
    </row>
    <row r="16" spans="1:9" ht="15">
      <c r="A16" s="1" t="s">
        <v>31</v>
      </c>
      <c r="B16" s="5" t="s">
        <v>36</v>
      </c>
      <c r="C16" s="1">
        <v>1</v>
      </c>
      <c r="D16" s="1" t="s">
        <v>25</v>
      </c>
      <c r="E16" s="1" t="s">
        <v>20</v>
      </c>
      <c r="F16" s="1">
        <f>197.58-F14-F13-F12-F15</f>
        <v>59.960000000000008</v>
      </c>
      <c r="G16" s="1">
        <f>Tabla1[[#This Row],[Peso U (g)]]*Tabla1[[#This Row],[Cantidad]]</f>
        <v>59.960000000000008</v>
      </c>
      <c r="H16" s="1" t="s">
        <v>26</v>
      </c>
      <c r="I16" s="1" t="s">
        <v>22</v>
      </c>
    </row>
    <row r="17" spans="1:9" ht="15">
      <c r="A17" s="1" t="s">
        <v>37</v>
      </c>
      <c r="B17" s="5" t="s">
        <v>38</v>
      </c>
      <c r="C17" s="1">
        <v>1</v>
      </c>
      <c r="D17" s="1" t="s">
        <v>25</v>
      </c>
      <c r="E17" s="1" t="s">
        <v>20</v>
      </c>
      <c r="F17" s="1">
        <v>21.39</v>
      </c>
      <c r="G17" s="1">
        <f>Tabla1[[#This Row],[Peso U (g)]]*Tabla1[[#This Row],[Cantidad]]</f>
        <v>21.39</v>
      </c>
      <c r="H17" s="1" t="s">
        <v>26</v>
      </c>
      <c r="I17" s="1"/>
    </row>
    <row r="18" spans="1:9" ht="15">
      <c r="A18" s="1" t="s">
        <v>37</v>
      </c>
      <c r="B18" s="5" t="s">
        <v>39</v>
      </c>
      <c r="C18" s="1">
        <v>1</v>
      </c>
      <c r="D18" s="1" t="s">
        <v>25</v>
      </c>
      <c r="E18" s="1" t="s">
        <v>20</v>
      </c>
      <c r="F18" s="1">
        <f>109.13-F17-F19-F21-F22</f>
        <v>42.86999999999999</v>
      </c>
      <c r="G18" s="1">
        <f>Tabla1[[#This Row],[Peso U (g)]]*Tabla1[[#This Row],[Cantidad]]</f>
        <v>42.86999999999999</v>
      </c>
      <c r="H18" s="1" t="s">
        <v>26</v>
      </c>
      <c r="I18" s="1"/>
    </row>
    <row r="19" spans="1:9" ht="15">
      <c r="A19" s="1" t="s">
        <v>37</v>
      </c>
      <c r="B19" s="5" t="s">
        <v>40</v>
      </c>
      <c r="C19" s="1">
        <v>1</v>
      </c>
      <c r="D19" s="1" t="s">
        <v>25</v>
      </c>
      <c r="E19" s="1" t="s">
        <v>20</v>
      </c>
      <c r="F19" s="1">
        <v>22.36</v>
      </c>
      <c r="G19" s="1">
        <f>Tabla1[[#This Row],[Peso U (g)]]*Tabla1[[#This Row],[Cantidad]]</f>
        <v>22.36</v>
      </c>
      <c r="H19" s="1" t="s">
        <v>26</v>
      </c>
      <c r="I19" s="1"/>
    </row>
    <row r="20" spans="1:9" ht="15">
      <c r="A20" s="1" t="s">
        <v>37</v>
      </c>
      <c r="B20" s="5" t="s">
        <v>41</v>
      </c>
      <c r="C20" s="1">
        <v>1</v>
      </c>
      <c r="D20" s="1" t="s">
        <v>25</v>
      </c>
      <c r="E20" s="1" t="s">
        <v>20</v>
      </c>
      <c r="F20" s="1">
        <v>36.19</v>
      </c>
      <c r="G20" s="1">
        <f>Tabla1[[#This Row],[Peso U (g)]]*Tabla1[[#This Row],[Cantidad]]</f>
        <v>36.19</v>
      </c>
      <c r="H20" s="1" t="s">
        <v>26</v>
      </c>
      <c r="I20" s="1"/>
    </row>
    <row r="21" spans="1:9" ht="15">
      <c r="A21" s="1" t="s">
        <v>37</v>
      </c>
      <c r="B21" s="5" t="s">
        <v>42</v>
      </c>
      <c r="C21" s="1">
        <v>1</v>
      </c>
      <c r="D21" s="1" t="s">
        <v>25</v>
      </c>
      <c r="E21" s="1" t="s">
        <v>20</v>
      </c>
      <c r="F21" s="1">
        <v>9.0299999999999994</v>
      </c>
      <c r="G21" s="1">
        <f>Tabla1[[#This Row],[Peso U (g)]]*Tabla1[[#This Row],[Cantidad]]</f>
        <v>9.0299999999999994</v>
      </c>
      <c r="H21" s="1" t="s">
        <v>26</v>
      </c>
      <c r="I21" s="1"/>
    </row>
    <row r="22" spans="1:9" ht="15">
      <c r="A22" s="1" t="s">
        <v>43</v>
      </c>
      <c r="B22" s="1" t="s">
        <v>44</v>
      </c>
      <c r="C22" s="1">
        <v>1</v>
      </c>
      <c r="D22" s="1" t="s">
        <v>25</v>
      </c>
      <c r="E22" s="1" t="s">
        <v>20</v>
      </c>
      <c r="F22" s="1">
        <v>13.48</v>
      </c>
      <c r="G22" s="1">
        <f>Tabla1[[#This Row],[Peso U (g)]]*Tabla1[[#This Row],[Cantidad]]</f>
        <v>13.48</v>
      </c>
      <c r="H22" s="1" t="s">
        <v>26</v>
      </c>
      <c r="I22" s="1"/>
    </row>
    <row r="23" spans="1:9" ht="15">
      <c r="A23" s="1" t="s">
        <v>43</v>
      </c>
      <c r="B23" s="1" t="s">
        <v>45</v>
      </c>
      <c r="C23" s="1">
        <v>1</v>
      </c>
      <c r="D23" s="1" t="s">
        <v>25</v>
      </c>
      <c r="E23" s="1" t="s">
        <v>20</v>
      </c>
      <c r="F23" s="1">
        <v>18.97</v>
      </c>
      <c r="G23" s="1">
        <f>Tabla1[[#This Row],[Peso U (g)]]*Tabla1[[#This Row],[Cantidad]]</f>
        <v>18.97</v>
      </c>
      <c r="H23" s="1" t="s">
        <v>26</v>
      </c>
      <c r="I23" s="1"/>
    </row>
    <row r="24" spans="1:9" ht="15">
      <c r="A24" s="1" t="s">
        <v>43</v>
      </c>
      <c r="B24" s="5" t="s">
        <v>46</v>
      </c>
      <c r="C24" s="1">
        <v>1</v>
      </c>
      <c r="D24" s="1" t="s">
        <v>25</v>
      </c>
      <c r="E24" s="1" t="s">
        <v>20</v>
      </c>
      <c r="F24" s="1">
        <f>171.82-F22-F23</f>
        <v>139.37</v>
      </c>
      <c r="G24" s="1">
        <f>Tabla1[[#This Row],[Peso U (g)]]*Tabla1[[#This Row],[Cantidad]]</f>
        <v>139.37</v>
      </c>
      <c r="H24" s="1" t="s">
        <v>26</v>
      </c>
      <c r="I24" s="1"/>
    </row>
    <row r="25" spans="1:9" ht="15"/>
    <row r="26" spans="1:9" ht="15"/>
    <row r="27" spans="1:9" ht="15"/>
  </sheetData>
  <mergeCells count="3">
    <mergeCell ref="A1:H1"/>
    <mergeCell ref="B3:H3"/>
    <mergeCell ref="B4:H4"/>
  </mergeCells>
  <phoneticPr fontId="7" type="noConversion"/>
  <dataValidations count="3">
    <dataValidation type="list" allowBlank="1" showInputMessage="1" showErrorMessage="1" sqref="A11:A164 A7:A9" xr:uid="{965592A6-4E8A-4766-ABA2-995B12DA854D}">
      <formula1>"A,B,C,D,E,F,G,H,I,J,K,L"</formula1>
    </dataValidation>
    <dataValidation type="list" allowBlank="1" showInputMessage="1" showErrorMessage="1" sqref="D7:D165" xr:uid="{7F84A4AF-D49F-4E82-A710-B14367937D8D}">
      <formula1>"BL X1-C, BL H2S, US5"</formula1>
    </dataValidation>
    <dataValidation type="list" allowBlank="1" showInputMessage="1" showErrorMessage="1" sqref="E7:E164" xr:uid="{3A4086F6-5D3A-4219-9381-EA86F556FDE6}">
      <formula1>"PLA CF (Negro), Tough PLA (Negro)"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ZAPICO GARCIA</dc:creator>
  <cp:keywords/>
  <dc:description/>
  <cp:lastModifiedBy/>
  <cp:revision/>
  <dcterms:created xsi:type="dcterms:W3CDTF">2026-03-18T14:47:57Z</dcterms:created>
  <dcterms:modified xsi:type="dcterms:W3CDTF">2026-03-19T08:48:53Z</dcterms:modified>
  <cp:category/>
  <cp:contentStatus/>
</cp:coreProperties>
</file>